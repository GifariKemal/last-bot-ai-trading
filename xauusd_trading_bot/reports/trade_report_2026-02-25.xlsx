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All Trades" sheetId="2" r:id="rId2"/>
    <sheet name="Daily" sheetId="3" r:id="rId3"/>
    <sheet name="Weekly" sheetId="4" r:id="rId4"/>
    <sheet name="Monthly" sheetId="5" r:id="rId5"/>
    <sheet name="Session Analysis" sheetId="6" r:id="rId6"/>
    <sheet name="SMC Performance" sheetId="7" r:id="rId7"/>
    <sheet name="Regime Analysis" sheetId="8" r:id="rId8"/>
    <sheet name="Charts" sheetId="9" r:id="rId9"/>
    <sheet name="_ChartData" sheetId="10" state="hidden" r:id="rId10"/>
  </sheets>
  <definedNames>
    <definedName name="_xlnm._FilterDatabase" localSheetId="1" hidden="1">'All Trades'!$A$2:$AC$9</definedName>
  </definedNames>
  <calcPr calcId="124519" fullCalcOnLoad="1"/>
</workbook>
</file>

<file path=xl/sharedStrings.xml><?xml version="1.0" encoding="utf-8"?>
<sst xmlns="http://schemas.openxmlformats.org/spreadsheetml/2006/main" count="245" uniqueCount="137">
  <si>
    <t>XAUUSD SMC Trading Bot v4.0.0 - Trade Report</t>
  </si>
  <si>
    <t>Generated: 2026-02-25 09:57 UTC</t>
  </si>
  <si>
    <t>KEY PERFORMANCE INDICATORS</t>
  </si>
  <si>
    <t>Total Trades</t>
  </si>
  <si>
    <t>7</t>
  </si>
  <si>
    <t>Win Rate</t>
  </si>
  <si>
    <t>57.1%</t>
  </si>
  <si>
    <t>Net P&amp;L</t>
  </si>
  <si>
    <t>$99.58</t>
  </si>
  <si>
    <t>Wins / Losses / BE</t>
  </si>
  <si>
    <t>4 / 3 / 0</t>
  </si>
  <si>
    <t>Profit Factor</t>
  </si>
  <si>
    <t>2.89</t>
  </si>
  <si>
    <t>Starting Balance</t>
  </si>
  <si>
    <t>$100.00</t>
  </si>
  <si>
    <t>Avg Win</t>
  </si>
  <si>
    <t>$38.09</t>
  </si>
  <si>
    <t>Avg Loss</t>
  </si>
  <si>
    <t>$17.60</t>
  </si>
  <si>
    <t>Avg Duration</t>
  </si>
  <si>
    <t>4h 21m</t>
  </si>
  <si>
    <t>Max Consec Losses</t>
  </si>
  <si>
    <t>2</t>
  </si>
  <si>
    <t>Best Trade</t>
  </si>
  <si>
    <t>$68.52</t>
  </si>
  <si>
    <t>Worst Trade</t>
  </si>
  <si>
    <t>$-45.85</t>
  </si>
  <si>
    <t>SESSION BREAKDOWN</t>
  </si>
  <si>
    <t>Session</t>
  </si>
  <si>
    <t>Trades</t>
  </si>
  <si>
    <t>PF</t>
  </si>
  <si>
    <t>London Session</t>
  </si>
  <si>
    <t>London-NY Overlap</t>
  </si>
  <si>
    <t>Asian Session</t>
  </si>
  <si>
    <t>REGIME BREAKDOWN</t>
  </si>
  <si>
    <t>Regime</t>
  </si>
  <si>
    <t>Unknown</t>
  </si>
  <si>
    <t>Complete Trade Log</t>
  </si>
  <si>
    <t>#</t>
  </si>
  <si>
    <t>Ticket</t>
  </si>
  <si>
    <t>Dir</t>
  </si>
  <si>
    <t>Entry Date</t>
  </si>
  <si>
    <t>Entry Time</t>
  </si>
  <si>
    <t>Exit Date</t>
  </si>
  <si>
    <t>Exit Time</t>
  </si>
  <si>
    <t>Entry Price</t>
  </si>
  <si>
    <t>Exit Price</t>
  </si>
  <si>
    <t>SL</t>
  </si>
  <si>
    <t>TP</t>
  </si>
  <si>
    <t>SL Pips</t>
  </si>
  <si>
    <t>TP Pips</t>
  </si>
  <si>
    <t>Volume</t>
  </si>
  <si>
    <t>P&amp;L ($)</t>
  </si>
  <si>
    <t>R:R</t>
  </si>
  <si>
    <t>Duration</t>
  </si>
  <si>
    <t>Confluence</t>
  </si>
  <si>
    <t>SMC Combo</t>
  </si>
  <si>
    <t>Exit Reason</t>
  </si>
  <si>
    <t>MFE ($)</t>
  </si>
  <si>
    <t>MAE ($)</t>
  </si>
  <si>
    <t>Stage</t>
  </si>
  <si>
    <t>W/L</t>
  </si>
  <si>
    <t>Cum P&amp;L ($)</t>
  </si>
  <si>
    <t>Equity ($)</t>
  </si>
  <si>
    <t>DD %</t>
  </si>
  <si>
    <t>3913500716</t>
  </si>
  <si>
    <t>BUY</t>
  </si>
  <si>
    <t>2026-02-23</t>
  </si>
  <si>
    <t>10:51:03</t>
  </si>
  <si>
    <t>15:01:49</t>
  </si>
  <si>
    <t>4h 10m</t>
  </si>
  <si>
    <t>BOS</t>
  </si>
  <si>
    <t>Trailing SL Hit (MT5 external)</t>
  </si>
  <si>
    <t/>
  </si>
  <si>
    <t>W</t>
  </si>
  <si>
    <t>3916717263</t>
  </si>
  <si>
    <t>16:00:52</t>
  </si>
  <si>
    <t>21:30:00</t>
  </si>
  <si>
    <t>5h 29m</t>
  </si>
  <si>
    <t>CHoCH</t>
  </si>
  <si>
    <t>Session End Profit (49% of TP, 30min to close)</t>
  </si>
  <si>
    <t>PRE_CLOSE_LOCKED</t>
  </si>
  <si>
    <t>3920121545</t>
  </si>
  <si>
    <t>SELL</t>
  </si>
  <si>
    <t>2026-02-24</t>
  </si>
  <si>
    <t>01:15:02</t>
  </si>
  <si>
    <t>01:19:20</t>
  </si>
  <si>
    <t>4m</t>
  </si>
  <si>
    <t>CHoCH+FVG</t>
  </si>
  <si>
    <t>BE_REACHED</t>
  </si>
  <si>
    <t>3921074564</t>
  </si>
  <si>
    <t>03:00:01</t>
  </si>
  <si>
    <t>03:15:01</t>
  </si>
  <si>
    <t>15m</t>
  </si>
  <si>
    <t>Opposite structure break</t>
  </si>
  <si>
    <t>OPEN</t>
  </si>
  <si>
    <t>L</t>
  </si>
  <si>
    <t>3921249473</t>
  </si>
  <si>
    <t>03:30:01</t>
  </si>
  <si>
    <t>13:59:33</t>
  </si>
  <si>
    <t>10h 29m</t>
  </si>
  <si>
    <t>PARTIAL_CLOSED</t>
  </si>
  <si>
    <t>3927539064</t>
  </si>
  <si>
    <t>15:30:01</t>
  </si>
  <si>
    <t>2026-02-25</t>
  </si>
  <si>
    <t>01:19:44</t>
  </si>
  <si>
    <t>9h 49m</t>
  </si>
  <si>
    <t>SL Hit (MT5 external)</t>
  </si>
  <si>
    <t>3930815373</t>
  </si>
  <si>
    <t>01:30:02</t>
  </si>
  <si>
    <t>01:45:00</t>
  </si>
  <si>
    <t>14m</t>
  </si>
  <si>
    <t>TOTAL</t>
  </si>
  <si>
    <t>Daily Performance</t>
  </si>
  <si>
    <t>Period</t>
  </si>
  <si>
    <t>Wins</t>
  </si>
  <si>
    <t>Losses</t>
  </si>
  <si>
    <t>Net P&amp;L ($)</t>
  </si>
  <si>
    <t>Cumulative ($)</t>
  </si>
  <si>
    <t>Weekly Performance</t>
  </si>
  <si>
    <t>2026-W09</t>
  </si>
  <si>
    <t>Monthly Performance</t>
  </si>
  <si>
    <t>2026-02</t>
  </si>
  <si>
    <t>Session Analysis</t>
  </si>
  <si>
    <t>Avg Win ($)</t>
  </si>
  <si>
    <t>Avg Loss ($)</t>
  </si>
  <si>
    <t>SMC Signal Combo Performance</t>
  </si>
  <si>
    <t>Avg P&amp;L ($)</t>
  </si>
  <si>
    <t>Market Regime Analysis</t>
  </si>
  <si>
    <t>Trade #</t>
  </si>
  <si>
    <t>Equity</t>
  </si>
  <si>
    <t>Drawdown %</t>
  </si>
  <si>
    <t>Day</t>
  </si>
  <si>
    <t>Daily P&amp;L</t>
  </si>
  <si>
    <t>Category</t>
  </si>
  <si>
    <t>Count</t>
  </si>
  <si>
    <t>BE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</si>
</sst>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0"/>
    <numFmt numFmtId="166" formatCode="$#,##0.00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9"/>
      <color rgb="FF2D5F8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1B2A4A"/>
      <name val="Calibri"/>
      <family val="2"/>
      <scheme val="minor"/>
    </font>
    <font>
      <b/>
      <sz val="12"/>
      <color rgb="FF2D5F8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nsolas"/>
      <family val="2"/>
    </font>
    <font>
      <b/>
      <sz val="10"/>
      <color rgb="FF28A745"/>
      <name val="Calibri"/>
      <family val="2"/>
      <scheme val="minor"/>
    </font>
    <font>
      <b/>
      <sz val="10"/>
      <color rgb="FFDC354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D5F8A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E8A838"/>
        <bgColor indexed="64"/>
      </patternFill>
    </fill>
  </fills>
  <borders count="5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/>
    </xf>
    <xf numFmtId="166" fontId="7" fillId="4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6" fontId="9" fillId="4" borderId="3" xfId="0" applyNumberFormat="1" applyFont="1" applyFill="1" applyBorder="1" applyAlignment="1">
      <alignment horizontal="center"/>
    </xf>
    <xf numFmtId="166" fontId="10" fillId="4" borderId="3" xfId="0" applyNumberFormat="1" applyFont="1" applyFill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166" fontId="4" fillId="5" borderId="4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</c:v>
          </c:tx>
          <c:spPr>
            <a:ln w="25400">
              <a:solidFill>
                <a:srgbClr val="2D5F8A"/>
              </a:solidFill>
            </a:ln>
          </c:spPr>
          <c:marker>
            <c:symbol val="none"/>
          </c:marker>
          <c:cat>
            <c:numRef>
              <c:f>_ChartData!$A$2:$A$8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_ChartData!$B$2:$B$8</c:f>
              <c:numCache>
                <c:formatCode>General</c:formatCode>
                <c:ptCount val="7"/>
                <c:pt idx="0">
                  <c:v>128.71</c:v>
                </c:pt>
                <c:pt idx="1">
                  <c:v>164.83</c:v>
                </c:pt>
                <c:pt idx="2">
                  <c:v>183.85</c:v>
                </c:pt>
                <c:pt idx="3">
                  <c:v>182.53</c:v>
                </c:pt>
                <c:pt idx="4">
                  <c:v>251.05</c:v>
                </c:pt>
                <c:pt idx="5">
                  <c:v>205.2</c:v>
                </c:pt>
                <c:pt idx="6">
                  <c:v>199.58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Trade #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Equity ($)</a:t>
                </a:r>
              </a:p>
            </c:rich>
          </c:tx>
          <c:layout/>
        </c:title>
        <c:numFmt formatCode="$#,##0.0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Drawdown (%)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Drawdown %</c:v>
          </c:tx>
          <c:spPr>
            <a:solidFill>
              <a:srgbClr val="DC3545">
                <a:alpha val="40000"/>
              </a:srgbClr>
            </a:solidFill>
            <a:ln w="12700">
              <a:solidFill>
                <a:srgbClr val="DC3545"/>
              </a:solidFill>
            </a:ln>
          </c:spPr>
          <c:cat>
            <c:numRef>
              <c:f>_ChartData!$A$2:$A$8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_ChartData!$C$2:$C$8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0.72</c:v>
                </c:pt>
                <c:pt idx="4">
                  <c:v>0</c:v>
                </c:pt>
                <c:pt idx="5">
                  <c:v>18.26</c:v>
                </c:pt>
                <c:pt idx="6">
                  <c:v>20.5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Trade #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Drawdown %</a:t>
                </a:r>
              </a:p>
            </c:rich>
          </c:tx>
          <c:layout/>
        </c:title>
        <c:numFmt formatCode="0.0%" sourceLinked="0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P&amp;L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Daily P&amp;L</c:v>
          </c:tx>
          <c:spPr>
            <a:solidFill>
              <a:srgbClr val="2D5F8A"/>
            </a:solidFill>
          </c:spPr>
          <c:cat>
            <c:strRef>
              <c:f>_ChartData!$D$2:$D$4</c:f>
              <c:strCache>
                <c:ptCount val="3"/>
                <c:pt idx="0">
                  <c:v>2026-02-23</c:v>
                </c:pt>
                <c:pt idx="1">
                  <c:v>2026-02-24</c:v>
                </c:pt>
                <c:pt idx="2">
                  <c:v>2026-02-25</c:v>
                </c:pt>
              </c:strCache>
            </c:strRef>
          </c:cat>
          <c:val>
            <c:numRef>
              <c:f>_ChartData!$E$2:$E$4</c:f>
              <c:numCache>
                <c:formatCode>General</c:formatCode>
                <c:ptCount val="3"/>
                <c:pt idx="0">
                  <c:v>64.83</c:v>
                </c:pt>
                <c:pt idx="1">
                  <c:v>40.37</c:v>
                </c:pt>
                <c:pt idx="2">
                  <c:v>-5.62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P&amp;L ($)</a:t>
                </a:r>
              </a:p>
            </c:rich>
          </c:tx>
          <c:layout/>
        </c:title>
        <c:numFmt formatCode="$#,##0.00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Win/Loss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Win/Loss</c:v>
          </c:tx>
          <c:dPt>
            <c:idx val="0"/>
            <c:spPr>
              <a:solidFill>
                <a:srgbClr val="28A745"/>
              </a:solidFill>
            </c:spPr>
          </c:dPt>
          <c:dPt>
            <c:idx val="1"/>
            <c:spPr>
              <a:solidFill>
                <a:srgbClr val="DC3545"/>
              </a:solidFill>
            </c:spPr>
          </c:dPt>
          <c:dPt>
            <c:idx val="2"/>
            <c:spPr>
              <a:solidFill>
                <a:srgbClr val="E8A838"/>
              </a:solidFill>
            </c:spPr>
          </c:dPt>
          <c:cat>
            <c:strRef>
              <c:f>_ChartData!$G$2:$G$4</c:f>
              <c:strCache>
                <c:ptCount val="3"/>
                <c:pt idx="0">
                  <c:v>Wins</c:v>
                </c:pt>
                <c:pt idx="1">
                  <c:v>Losses</c:v>
                </c:pt>
                <c:pt idx="2">
                  <c:v>BE</c:v>
                </c:pt>
              </c:strCache>
            </c:strRef>
          </c:cat>
          <c:val>
            <c:numRef>
              <c:f>_ChartData!$H$2:$H$4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304800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12</xdr:col>
      <xdr:colOff>304800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12</xdr:col>
      <xdr:colOff>304800</xdr:colOff>
      <xdr:row>53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15</xdr:col>
      <xdr:colOff>152400</xdr:colOff>
      <xdr:row>17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/>
  </sheetViews>
  <sheetFormatPr defaultRowHeight="15"/>
  <cols>
    <col min="1" max="1" width="22.7109375" customWidth="1"/>
    <col min="2" max="2" width="16.7109375" customWidth="1"/>
    <col min="3" max="3" width="5.7109375" customWidth="1"/>
    <col min="4" max="4" width="22.7109375" customWidth="1"/>
    <col min="5" max="5" width="16.7109375" customWidth="1"/>
    <col min="6" max="6" width="5.7109375" customWidth="1"/>
    <col min="7" max="7" width="22.7109375" customWidth="1"/>
    <col min="8" max="8" width="16.7109375" customWidth="1"/>
  </cols>
  <sheetData>
    <row r="1" spans="1:8" ht="3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2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22" customHeight="1">
      <c r="A5" s="4" t="s">
        <v>3</v>
      </c>
      <c r="B5" s="5" t="s">
        <v>4</v>
      </c>
      <c r="D5" s="4" t="s">
        <v>5</v>
      </c>
      <c r="E5" s="5" t="s">
        <v>6</v>
      </c>
      <c r="G5" s="4" t="s">
        <v>7</v>
      </c>
      <c r="H5" s="5" t="s">
        <v>8</v>
      </c>
    </row>
    <row r="6" spans="1:8" ht="22" customHeight="1">
      <c r="A6" s="4" t="s">
        <v>9</v>
      </c>
      <c r="B6" s="5" t="s">
        <v>10</v>
      </c>
      <c r="D6" s="4" t="s">
        <v>11</v>
      </c>
      <c r="E6" s="5" t="s">
        <v>12</v>
      </c>
      <c r="G6" s="4" t="s">
        <v>13</v>
      </c>
      <c r="H6" s="5" t="s">
        <v>14</v>
      </c>
    </row>
    <row r="7" spans="1:8" ht="22" customHeight="1">
      <c r="A7" s="4" t="s">
        <v>15</v>
      </c>
      <c r="B7" s="5" t="s">
        <v>16</v>
      </c>
      <c r="D7" s="4" t="s">
        <v>17</v>
      </c>
      <c r="E7" s="5" t="s">
        <v>18</v>
      </c>
      <c r="G7" s="4" t="s">
        <v>19</v>
      </c>
      <c r="H7" s="5" t="s">
        <v>20</v>
      </c>
    </row>
    <row r="8" spans="1:8" ht="22" customHeight="1">
      <c r="A8" s="4" t="s">
        <v>21</v>
      </c>
      <c r="B8" s="5" t="s">
        <v>22</v>
      </c>
      <c r="D8" s="4" t="s">
        <v>23</v>
      </c>
      <c r="E8" s="5" t="s">
        <v>24</v>
      </c>
      <c r="G8" s="4" t="s">
        <v>25</v>
      </c>
      <c r="H8" s="5" t="s">
        <v>26</v>
      </c>
    </row>
    <row r="10" spans="1:8">
      <c r="A10" s="3" t="s">
        <v>27</v>
      </c>
      <c r="B10" s="3"/>
      <c r="C10" s="3"/>
      <c r="D10" s="3"/>
      <c r="E10" s="3"/>
    </row>
    <row r="11" spans="1:8">
      <c r="A11" s="6" t="s">
        <v>28</v>
      </c>
      <c r="B11" s="6" t="s">
        <v>29</v>
      </c>
      <c r="C11" s="6" t="s">
        <v>5</v>
      </c>
      <c r="D11" s="6" t="s">
        <v>30</v>
      </c>
      <c r="E11" s="6" t="s">
        <v>7</v>
      </c>
    </row>
    <row r="12" spans="1:8">
      <c r="A12" s="7" t="s">
        <v>31</v>
      </c>
      <c r="B12" s="8">
        <v>1</v>
      </c>
      <c r="C12" s="9">
        <v>1</v>
      </c>
      <c r="D12" s="10">
        <v>999</v>
      </c>
      <c r="E12" s="11">
        <v>28.71</v>
      </c>
    </row>
    <row r="13" spans="1:8">
      <c r="A13" s="12" t="s">
        <v>32</v>
      </c>
      <c r="B13" s="13">
        <v>2</v>
      </c>
      <c r="C13" s="14">
        <v>0.5</v>
      </c>
      <c r="D13" s="15">
        <v>0.7877862595419847</v>
      </c>
      <c r="E13" s="16">
        <v>-9.730000000000004</v>
      </c>
    </row>
    <row r="14" spans="1:8">
      <c r="A14" s="7" t="s">
        <v>33</v>
      </c>
      <c r="B14" s="8">
        <v>4</v>
      </c>
      <c r="C14" s="9">
        <v>0.5</v>
      </c>
      <c r="D14" s="10">
        <v>12.61383285302593</v>
      </c>
      <c r="E14" s="11">
        <v>80.59999999999999</v>
      </c>
    </row>
    <row r="16" spans="1:8">
      <c r="A16" s="3" t="s">
        <v>34</v>
      </c>
      <c r="B16" s="3"/>
      <c r="C16" s="3"/>
      <c r="D16" s="3"/>
      <c r="E16" s="3"/>
    </row>
    <row r="17" spans="1:5">
      <c r="A17" s="6" t="s">
        <v>35</v>
      </c>
      <c r="B17" s="6" t="s">
        <v>29</v>
      </c>
      <c r="C17" s="6" t="s">
        <v>5</v>
      </c>
      <c r="D17" s="6" t="s">
        <v>30</v>
      </c>
      <c r="E17" s="6" t="s">
        <v>7</v>
      </c>
    </row>
    <row r="18" spans="1:5">
      <c r="A18" s="7" t="s">
        <v>36</v>
      </c>
      <c r="B18" s="8">
        <v>7</v>
      </c>
      <c r="C18" s="9">
        <v>0.5714285714285714</v>
      </c>
      <c r="D18" s="10">
        <v>2.886342110248153</v>
      </c>
      <c r="E18" s="11">
        <v>99.58</v>
      </c>
    </row>
  </sheetData>
  <mergeCells count="5">
    <mergeCell ref="A1:H1"/>
    <mergeCell ref="A2:H2"/>
    <mergeCell ref="A4:H4"/>
    <mergeCell ref="A10:E10"/>
    <mergeCell ref="A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5.7109375" customWidth="1"/>
    <col min="4" max="4" width="11.7109375" customWidth="1"/>
    <col min="5" max="5" width="9.7109375" customWidth="1"/>
    <col min="6" max="6" width="11.7109375" customWidth="1"/>
    <col min="7" max="7" width="9.7109375" customWidth="1"/>
    <col min="8" max="11" width="10.7109375" customWidth="1"/>
    <col min="12" max="14" width="7.7109375" customWidth="1"/>
    <col min="15" max="15" width="9.7109375" customWidth="1"/>
    <col min="16" max="16" width="6.7109375" customWidth="1"/>
    <col min="17" max="17" width="9.7109375" customWidth="1"/>
    <col min="18" max="18" width="8.7109375" customWidth="1"/>
    <col min="19" max="20" width="16.7109375" customWidth="1"/>
    <col min="21" max="21" width="14.7109375" customWidth="1"/>
    <col min="22" max="22" width="22.7109375" customWidth="1"/>
    <col min="23" max="24" width="9.7109375" customWidth="1"/>
    <col min="25" max="25" width="10.7109375" customWidth="1"/>
    <col min="26" max="26" width="5.7109375" customWidth="1"/>
    <col min="27" max="28" width="10.7109375" customWidth="1"/>
    <col min="29" max="29" width="7.7109375" customWidth="1"/>
  </cols>
  <sheetData>
    <row r="1" spans="1:29" ht="30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2" customHeight="1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28</v>
      </c>
      <c r="U2" s="6" t="s">
        <v>35</v>
      </c>
      <c r="V2" s="6" t="s">
        <v>57</v>
      </c>
      <c r="W2" s="6" t="s">
        <v>58</v>
      </c>
      <c r="X2" s="6" t="s">
        <v>59</v>
      </c>
      <c r="Y2" s="6" t="s">
        <v>60</v>
      </c>
      <c r="Z2" s="6" t="s">
        <v>61</v>
      </c>
      <c r="AA2" s="6" t="s">
        <v>62</v>
      </c>
      <c r="AB2" s="6" t="s">
        <v>63</v>
      </c>
      <c r="AC2" s="6" t="s">
        <v>64</v>
      </c>
    </row>
    <row r="3" spans="1:29">
      <c r="A3" s="8">
        <v>1</v>
      </c>
      <c r="B3" s="17" t="s">
        <v>65</v>
      </c>
      <c r="C3" s="8" t="s">
        <v>66</v>
      </c>
      <c r="D3" s="8" t="s">
        <v>67</v>
      </c>
      <c r="E3" s="8" t="s">
        <v>68</v>
      </c>
      <c r="F3" s="8" t="s">
        <v>67</v>
      </c>
      <c r="G3" s="8" t="s">
        <v>69</v>
      </c>
      <c r="H3" s="10">
        <v>5157.114</v>
      </c>
      <c r="I3" s="10">
        <v>5186.22</v>
      </c>
      <c r="J3" s="10">
        <v>5136.39</v>
      </c>
      <c r="K3" s="10">
        <v>5209.09</v>
      </c>
      <c r="L3" s="10">
        <v>20.72</v>
      </c>
      <c r="M3" s="10">
        <v>51.98</v>
      </c>
      <c r="N3" s="10">
        <v>0.01</v>
      </c>
      <c r="O3" s="18">
        <v>28.71</v>
      </c>
      <c r="P3" s="10">
        <v>1.386</v>
      </c>
      <c r="Q3" s="8" t="s">
        <v>70</v>
      </c>
      <c r="R3" s="10">
        <v>0.7806</v>
      </c>
      <c r="S3" s="7" t="s">
        <v>71</v>
      </c>
      <c r="T3" s="7" t="s">
        <v>31</v>
      </c>
      <c r="U3" s="7" t="s">
        <v>36</v>
      </c>
      <c r="V3" s="7" t="s">
        <v>72</v>
      </c>
      <c r="W3" s="10">
        <v>0</v>
      </c>
      <c r="X3" s="10">
        <v>0</v>
      </c>
      <c r="Y3" s="8" t="s">
        <v>73</v>
      </c>
      <c r="Z3" s="8" t="s">
        <v>74</v>
      </c>
      <c r="AA3" s="18">
        <v>28.71</v>
      </c>
      <c r="AB3" s="10">
        <v>128.71</v>
      </c>
      <c r="AC3" s="9">
        <v>0</v>
      </c>
    </row>
    <row r="4" spans="1:29">
      <c r="A4" s="13">
        <v>2</v>
      </c>
      <c r="B4" s="19" t="s">
        <v>75</v>
      </c>
      <c r="C4" s="13" t="s">
        <v>66</v>
      </c>
      <c r="D4" s="13" t="s">
        <v>67</v>
      </c>
      <c r="E4" s="13" t="s">
        <v>76</v>
      </c>
      <c r="F4" s="13" t="s">
        <v>67</v>
      </c>
      <c r="G4" s="13" t="s">
        <v>77</v>
      </c>
      <c r="H4" s="15">
        <v>5193.548</v>
      </c>
      <c r="I4" s="15">
        <v>5230.056</v>
      </c>
      <c r="J4" s="15">
        <v>5148.94</v>
      </c>
      <c r="K4" s="15">
        <v>5267.55</v>
      </c>
      <c r="L4" s="15">
        <v>44.61</v>
      </c>
      <c r="M4" s="15">
        <v>74</v>
      </c>
      <c r="N4" s="15">
        <v>0.01</v>
      </c>
      <c r="O4" s="20">
        <v>36.12</v>
      </c>
      <c r="P4" s="15">
        <v>0.8100000000000001</v>
      </c>
      <c r="Q4" s="13" t="s">
        <v>78</v>
      </c>
      <c r="R4" s="15">
        <v>0.7761</v>
      </c>
      <c r="S4" s="12" t="s">
        <v>79</v>
      </c>
      <c r="T4" s="12" t="s">
        <v>32</v>
      </c>
      <c r="U4" s="12" t="s">
        <v>36</v>
      </c>
      <c r="V4" s="12" t="s">
        <v>80</v>
      </c>
      <c r="W4" s="15">
        <v>42.81</v>
      </c>
      <c r="X4" s="15">
        <v>-16.49</v>
      </c>
      <c r="Y4" s="13" t="s">
        <v>81</v>
      </c>
      <c r="Z4" s="13" t="s">
        <v>74</v>
      </c>
      <c r="AA4" s="20">
        <v>64.83</v>
      </c>
      <c r="AB4" s="15">
        <v>164.83</v>
      </c>
      <c r="AC4" s="14">
        <v>0</v>
      </c>
    </row>
    <row r="5" spans="1:29">
      <c r="A5" s="8">
        <v>3</v>
      </c>
      <c r="B5" s="17" t="s">
        <v>82</v>
      </c>
      <c r="C5" s="8" t="s">
        <v>83</v>
      </c>
      <c r="D5" s="8" t="s">
        <v>84</v>
      </c>
      <c r="E5" s="8" t="s">
        <v>85</v>
      </c>
      <c r="F5" s="8" t="s">
        <v>84</v>
      </c>
      <c r="G5" s="8" t="s">
        <v>86</v>
      </c>
      <c r="H5" s="10">
        <v>5185.619</v>
      </c>
      <c r="I5" s="10">
        <v>5166.599</v>
      </c>
      <c r="J5" s="10">
        <v>5224.53</v>
      </c>
      <c r="K5" s="10">
        <v>5107.54</v>
      </c>
      <c r="L5" s="10">
        <v>38.91</v>
      </c>
      <c r="M5" s="10">
        <v>78.08</v>
      </c>
      <c r="N5" s="10">
        <v>0.01</v>
      </c>
      <c r="O5" s="18">
        <v>19.02</v>
      </c>
      <c r="P5" s="10">
        <v>0.489</v>
      </c>
      <c r="Q5" s="8" t="s">
        <v>87</v>
      </c>
      <c r="R5" s="10">
        <v>0.5492</v>
      </c>
      <c r="S5" s="7" t="s">
        <v>88</v>
      </c>
      <c r="T5" s="7" t="s">
        <v>33</v>
      </c>
      <c r="U5" s="7" t="s">
        <v>36</v>
      </c>
      <c r="V5" s="7" t="s">
        <v>72</v>
      </c>
      <c r="W5" s="10">
        <v>39.06</v>
      </c>
      <c r="X5" s="10">
        <v>19.02</v>
      </c>
      <c r="Y5" s="8" t="s">
        <v>89</v>
      </c>
      <c r="Z5" s="8" t="s">
        <v>74</v>
      </c>
      <c r="AA5" s="18">
        <v>83.84999999999999</v>
      </c>
      <c r="AB5" s="10">
        <v>183.85</v>
      </c>
      <c r="AC5" s="9">
        <v>0</v>
      </c>
    </row>
    <row r="6" spans="1:29">
      <c r="A6" s="13">
        <v>4</v>
      </c>
      <c r="B6" s="19" t="s">
        <v>90</v>
      </c>
      <c r="C6" s="13" t="s">
        <v>66</v>
      </c>
      <c r="D6" s="13" t="s">
        <v>84</v>
      </c>
      <c r="E6" s="13" t="s">
        <v>91</v>
      </c>
      <c r="F6" s="13" t="s">
        <v>84</v>
      </c>
      <c r="G6" s="13" t="s">
        <v>92</v>
      </c>
      <c r="H6" s="15">
        <v>5189.763</v>
      </c>
      <c r="I6" s="15">
        <v>5188.835</v>
      </c>
      <c r="J6" s="15">
        <v>5148.76</v>
      </c>
      <c r="K6" s="15">
        <v>5269.02</v>
      </c>
      <c r="L6" s="15">
        <v>41</v>
      </c>
      <c r="M6" s="15">
        <v>79.26000000000001</v>
      </c>
      <c r="N6" s="15">
        <v>0.01</v>
      </c>
      <c r="O6" s="21">
        <v>-1.32</v>
      </c>
      <c r="P6" s="15">
        <v>-0.032</v>
      </c>
      <c r="Q6" s="13" t="s">
        <v>93</v>
      </c>
      <c r="R6" s="15">
        <v>0.4943</v>
      </c>
      <c r="S6" s="12" t="s">
        <v>71</v>
      </c>
      <c r="T6" s="12" t="s">
        <v>33</v>
      </c>
      <c r="U6" s="12" t="s">
        <v>36</v>
      </c>
      <c r="V6" s="12" t="s">
        <v>94</v>
      </c>
      <c r="W6" s="15">
        <v>-1.1</v>
      </c>
      <c r="X6" s="15">
        <v>-3.35</v>
      </c>
      <c r="Y6" s="13" t="s">
        <v>95</v>
      </c>
      <c r="Z6" s="13" t="s">
        <v>96</v>
      </c>
      <c r="AA6" s="21">
        <v>82.53</v>
      </c>
      <c r="AB6" s="15">
        <v>182.53</v>
      </c>
      <c r="AC6" s="14">
        <v>0.0072</v>
      </c>
    </row>
    <row r="7" spans="1:29">
      <c r="A7" s="8">
        <v>5</v>
      </c>
      <c r="B7" s="17" t="s">
        <v>97</v>
      </c>
      <c r="C7" s="8" t="s">
        <v>83</v>
      </c>
      <c r="D7" s="8" t="s">
        <v>84</v>
      </c>
      <c r="E7" s="8" t="s">
        <v>98</v>
      </c>
      <c r="F7" s="8" t="s">
        <v>84</v>
      </c>
      <c r="G7" s="8" t="s">
        <v>99</v>
      </c>
      <c r="H7" s="10">
        <v>5182.576</v>
      </c>
      <c r="I7" s="10">
        <v>5114.056</v>
      </c>
      <c r="J7" s="10">
        <v>5217.1</v>
      </c>
      <c r="K7" s="10">
        <v>5113.31</v>
      </c>
      <c r="L7" s="10">
        <v>34.52</v>
      </c>
      <c r="M7" s="10">
        <v>69.27</v>
      </c>
      <c r="N7" s="10">
        <v>0.01</v>
      </c>
      <c r="O7" s="18">
        <v>68.52</v>
      </c>
      <c r="P7" s="10">
        <v>1.985</v>
      </c>
      <c r="Q7" s="8" t="s">
        <v>100</v>
      </c>
      <c r="R7" s="10">
        <v>0.8161</v>
      </c>
      <c r="S7" s="7" t="s">
        <v>79</v>
      </c>
      <c r="T7" s="7" t="s">
        <v>33</v>
      </c>
      <c r="U7" s="7" t="s">
        <v>36</v>
      </c>
      <c r="V7" s="7" t="s">
        <v>72</v>
      </c>
      <c r="W7" s="10">
        <v>68.52</v>
      </c>
      <c r="X7" s="10">
        <v>-5.32</v>
      </c>
      <c r="Y7" s="8" t="s">
        <v>101</v>
      </c>
      <c r="Z7" s="8" t="s">
        <v>74</v>
      </c>
      <c r="AA7" s="18">
        <v>151.05</v>
      </c>
      <c r="AB7" s="10">
        <v>251.05</v>
      </c>
      <c r="AC7" s="9">
        <v>0</v>
      </c>
    </row>
    <row r="8" spans="1:29">
      <c r="A8" s="13">
        <v>6</v>
      </c>
      <c r="B8" s="19" t="s">
        <v>102</v>
      </c>
      <c r="C8" s="13" t="s">
        <v>83</v>
      </c>
      <c r="D8" s="13" t="s">
        <v>84</v>
      </c>
      <c r="E8" s="13" t="s">
        <v>103</v>
      </c>
      <c r="F8" s="13" t="s">
        <v>104</v>
      </c>
      <c r="G8" s="13" t="s">
        <v>105</v>
      </c>
      <c r="H8" s="15">
        <v>5138.218</v>
      </c>
      <c r="I8" s="15">
        <v>5184.45</v>
      </c>
      <c r="J8" s="15">
        <v>5184.45</v>
      </c>
      <c r="K8" s="15">
        <v>5045.45</v>
      </c>
      <c r="L8" s="15">
        <v>46.23</v>
      </c>
      <c r="M8" s="15">
        <v>92.77</v>
      </c>
      <c r="N8" s="15">
        <v>0.01</v>
      </c>
      <c r="O8" s="21">
        <v>-45.85</v>
      </c>
      <c r="P8" s="15">
        <v>-0.992</v>
      </c>
      <c r="Q8" s="13" t="s">
        <v>106</v>
      </c>
      <c r="R8" s="15">
        <v>0.7566000000000001</v>
      </c>
      <c r="S8" s="12" t="s">
        <v>71</v>
      </c>
      <c r="T8" s="12" t="s">
        <v>32</v>
      </c>
      <c r="U8" s="12" t="s">
        <v>36</v>
      </c>
      <c r="V8" s="12" t="s">
        <v>107</v>
      </c>
      <c r="W8" s="15">
        <v>7.59</v>
      </c>
      <c r="X8" s="15">
        <v>-45.85</v>
      </c>
      <c r="Y8" s="13" t="s">
        <v>95</v>
      </c>
      <c r="Z8" s="13" t="s">
        <v>96</v>
      </c>
      <c r="AA8" s="21">
        <v>105.2</v>
      </c>
      <c r="AB8" s="15">
        <v>205.2</v>
      </c>
      <c r="AC8" s="14">
        <v>0.1826</v>
      </c>
    </row>
    <row r="9" spans="1:29">
      <c r="A9" s="8">
        <v>7</v>
      </c>
      <c r="B9" s="17" t="s">
        <v>108</v>
      </c>
      <c r="C9" s="8" t="s">
        <v>66</v>
      </c>
      <c r="D9" s="8" t="s">
        <v>104</v>
      </c>
      <c r="E9" s="8" t="s">
        <v>109</v>
      </c>
      <c r="F9" s="8" t="s">
        <v>104</v>
      </c>
      <c r="G9" s="8" t="s">
        <v>110</v>
      </c>
      <c r="H9" s="10">
        <v>5185.298</v>
      </c>
      <c r="I9" s="10">
        <v>5180.065</v>
      </c>
      <c r="J9" s="10">
        <v>5146.44</v>
      </c>
      <c r="K9" s="10">
        <v>5263.27</v>
      </c>
      <c r="L9" s="10">
        <v>38.86</v>
      </c>
      <c r="M9" s="10">
        <v>77.97</v>
      </c>
      <c r="N9" s="10">
        <v>0.01</v>
      </c>
      <c r="O9" s="22">
        <v>-5.62</v>
      </c>
      <c r="P9" s="10">
        <v>-0.145</v>
      </c>
      <c r="Q9" s="8" t="s">
        <v>111</v>
      </c>
      <c r="R9" s="10">
        <v>0.676</v>
      </c>
      <c r="S9" s="7" t="s">
        <v>79</v>
      </c>
      <c r="T9" s="7" t="s">
        <v>33</v>
      </c>
      <c r="U9" s="7" t="s">
        <v>36</v>
      </c>
      <c r="V9" s="7" t="s">
        <v>94</v>
      </c>
      <c r="W9" s="10">
        <v>2.61</v>
      </c>
      <c r="X9" s="10">
        <v>-5.83</v>
      </c>
      <c r="Y9" s="8" t="s">
        <v>95</v>
      </c>
      <c r="Z9" s="8" t="s">
        <v>96</v>
      </c>
      <c r="AA9" s="22">
        <v>99.58</v>
      </c>
      <c r="AB9" s="10">
        <v>199.58</v>
      </c>
      <c r="AC9" s="9">
        <v>0.205</v>
      </c>
    </row>
    <row r="10" spans="1:29">
      <c r="A10" s="23" t="s">
        <v>112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>
        <f>SUM(O3:O9)</f>
        <v>0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</sheetData>
  <autoFilter ref="A2:AC9"/>
  <mergeCells count="1"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4" width="8.7109375" customWidth="1"/>
    <col min="5" max="5" width="10.7109375" customWidth="1"/>
    <col min="6" max="6" width="8.7109375" customWidth="1"/>
    <col min="7" max="8" width="12.7109375" customWidth="1"/>
  </cols>
  <sheetData>
    <row r="1" spans="1:8" ht="30" customHeight="1">
      <c r="A1" s="1" t="s">
        <v>113</v>
      </c>
      <c r="B1" s="1"/>
      <c r="C1" s="1"/>
      <c r="D1" s="1"/>
      <c r="E1" s="1"/>
      <c r="F1" s="1"/>
      <c r="G1" s="1"/>
      <c r="H1" s="1"/>
    </row>
    <row r="2" spans="1:8" ht="22" customHeight="1">
      <c r="A2" s="6" t="s">
        <v>114</v>
      </c>
      <c r="B2" s="6" t="s">
        <v>29</v>
      </c>
      <c r="C2" s="6" t="s">
        <v>115</v>
      </c>
      <c r="D2" s="6" t="s">
        <v>116</v>
      </c>
      <c r="E2" s="6" t="s">
        <v>5</v>
      </c>
      <c r="F2" s="6" t="s">
        <v>30</v>
      </c>
      <c r="G2" s="6" t="s">
        <v>117</v>
      </c>
      <c r="H2" s="6" t="s">
        <v>118</v>
      </c>
    </row>
    <row r="3" spans="1:8">
      <c r="A3" s="7" t="s">
        <v>67</v>
      </c>
      <c r="B3" s="8">
        <v>2</v>
      </c>
      <c r="C3" s="8">
        <v>2</v>
      </c>
      <c r="D3" s="8">
        <v>0</v>
      </c>
      <c r="E3" s="9">
        <v>1</v>
      </c>
      <c r="F3" s="10">
        <v>999</v>
      </c>
      <c r="G3" s="18">
        <v>64.83</v>
      </c>
      <c r="H3" s="18">
        <v>64.83</v>
      </c>
    </row>
    <row r="4" spans="1:8">
      <c r="A4" s="12" t="s">
        <v>84</v>
      </c>
      <c r="B4" s="13">
        <v>4</v>
      </c>
      <c r="C4" s="13">
        <v>2</v>
      </c>
      <c r="D4" s="13">
        <v>2</v>
      </c>
      <c r="E4" s="14">
        <v>0.5</v>
      </c>
      <c r="F4" s="15">
        <v>1.855840576637693</v>
      </c>
      <c r="G4" s="20">
        <v>40.37</v>
      </c>
      <c r="H4" s="20">
        <v>105.2</v>
      </c>
    </row>
    <row r="5" spans="1:8">
      <c r="A5" s="7" t="s">
        <v>104</v>
      </c>
      <c r="B5" s="8">
        <v>1</v>
      </c>
      <c r="C5" s="8">
        <v>0</v>
      </c>
      <c r="D5" s="8">
        <v>1</v>
      </c>
      <c r="E5" s="9">
        <v>0</v>
      </c>
      <c r="F5" s="10">
        <v>0</v>
      </c>
      <c r="G5" s="22">
        <v>-5.62</v>
      </c>
      <c r="H5" s="18">
        <v>99.57999999999998</v>
      </c>
    </row>
    <row r="6" spans="1:8">
      <c r="A6" s="23" t="s">
        <v>112</v>
      </c>
      <c r="B6" s="23">
        <v>7</v>
      </c>
      <c r="C6" s="23">
        <v>4</v>
      </c>
      <c r="D6" s="23">
        <v>3</v>
      </c>
      <c r="E6" s="25">
        <v>0.5714285714285714</v>
      </c>
      <c r="F6" s="23"/>
      <c r="G6" s="24">
        <v>99.58</v>
      </c>
      <c r="H6" s="23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4" width="8.7109375" customWidth="1"/>
    <col min="5" max="5" width="10.7109375" customWidth="1"/>
    <col min="6" max="6" width="8.7109375" customWidth="1"/>
    <col min="7" max="8" width="12.7109375" customWidth="1"/>
  </cols>
  <sheetData>
    <row r="1" spans="1:8" ht="30" customHeight="1">
      <c r="A1" s="1" t="s">
        <v>119</v>
      </c>
      <c r="B1" s="1"/>
      <c r="C1" s="1"/>
      <c r="D1" s="1"/>
      <c r="E1" s="1"/>
      <c r="F1" s="1"/>
      <c r="G1" s="1"/>
      <c r="H1" s="1"/>
    </row>
    <row r="2" spans="1:8" ht="22" customHeight="1">
      <c r="A2" s="6" t="s">
        <v>114</v>
      </c>
      <c r="B2" s="6" t="s">
        <v>29</v>
      </c>
      <c r="C2" s="6" t="s">
        <v>115</v>
      </c>
      <c r="D2" s="6" t="s">
        <v>116</v>
      </c>
      <c r="E2" s="6" t="s">
        <v>5</v>
      </c>
      <c r="F2" s="6" t="s">
        <v>30</v>
      </c>
      <c r="G2" s="6" t="s">
        <v>117</v>
      </c>
      <c r="H2" s="6" t="s">
        <v>118</v>
      </c>
    </row>
    <row r="3" spans="1:8">
      <c r="A3" s="7" t="s">
        <v>120</v>
      </c>
      <c r="B3" s="8">
        <v>7</v>
      </c>
      <c r="C3" s="8">
        <v>4</v>
      </c>
      <c r="D3" s="8">
        <v>3</v>
      </c>
      <c r="E3" s="9">
        <v>0.5714285714285714</v>
      </c>
      <c r="F3" s="10">
        <v>2.886342110248153</v>
      </c>
      <c r="G3" s="18">
        <v>99.58</v>
      </c>
      <c r="H3" s="18">
        <v>99.58</v>
      </c>
    </row>
    <row r="4" spans="1:8">
      <c r="A4" s="23" t="s">
        <v>112</v>
      </c>
      <c r="B4" s="23">
        <v>7</v>
      </c>
      <c r="C4" s="23">
        <v>4</v>
      </c>
      <c r="D4" s="23">
        <v>3</v>
      </c>
      <c r="E4" s="25">
        <v>0.5714285714285714</v>
      </c>
      <c r="F4" s="23"/>
      <c r="G4" s="24">
        <v>99.58</v>
      </c>
      <c r="H4" s="23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4" width="8.7109375" customWidth="1"/>
    <col min="5" max="5" width="10.7109375" customWidth="1"/>
    <col min="6" max="6" width="8.7109375" customWidth="1"/>
    <col min="7" max="8" width="12.7109375" customWidth="1"/>
  </cols>
  <sheetData>
    <row r="1" spans="1:8" ht="30" customHeight="1">
      <c r="A1" s="1" t="s">
        <v>121</v>
      </c>
      <c r="B1" s="1"/>
      <c r="C1" s="1"/>
      <c r="D1" s="1"/>
      <c r="E1" s="1"/>
      <c r="F1" s="1"/>
      <c r="G1" s="1"/>
      <c r="H1" s="1"/>
    </row>
    <row r="2" spans="1:8" ht="22" customHeight="1">
      <c r="A2" s="6" t="s">
        <v>114</v>
      </c>
      <c r="B2" s="6" t="s">
        <v>29</v>
      </c>
      <c r="C2" s="6" t="s">
        <v>115</v>
      </c>
      <c r="D2" s="6" t="s">
        <v>116</v>
      </c>
      <c r="E2" s="6" t="s">
        <v>5</v>
      </c>
      <c r="F2" s="6" t="s">
        <v>30</v>
      </c>
      <c r="G2" s="6" t="s">
        <v>117</v>
      </c>
      <c r="H2" s="6" t="s">
        <v>118</v>
      </c>
    </row>
    <row r="3" spans="1:8">
      <c r="A3" s="7" t="s">
        <v>122</v>
      </c>
      <c r="B3" s="8">
        <v>7</v>
      </c>
      <c r="C3" s="8">
        <v>4</v>
      </c>
      <c r="D3" s="8">
        <v>3</v>
      </c>
      <c r="E3" s="9">
        <v>0.5714285714285714</v>
      </c>
      <c r="F3" s="10">
        <v>2.886342110248153</v>
      </c>
      <c r="G3" s="18">
        <v>99.58</v>
      </c>
      <c r="H3" s="18">
        <v>99.58</v>
      </c>
    </row>
    <row r="4" spans="1:8">
      <c r="A4" s="23" t="s">
        <v>112</v>
      </c>
      <c r="B4" s="23">
        <v>7</v>
      </c>
      <c r="C4" s="23">
        <v>4</v>
      </c>
      <c r="D4" s="23">
        <v>3</v>
      </c>
      <c r="E4" s="25">
        <v>0.5714285714285714</v>
      </c>
      <c r="F4" s="23"/>
      <c r="G4" s="24">
        <v>99.58</v>
      </c>
      <c r="H4" s="23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4" width="8.7109375" customWidth="1"/>
    <col min="5" max="5" width="10.7109375" customWidth="1"/>
    <col min="6" max="6" width="8.7109375" customWidth="1"/>
    <col min="7" max="9" width="12.7109375" customWidth="1"/>
  </cols>
  <sheetData>
    <row r="1" spans="1:9" ht="30" customHeight="1">
      <c r="A1" s="1" t="s">
        <v>123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6" t="s">
        <v>28</v>
      </c>
      <c r="B2" s="6" t="s">
        <v>29</v>
      </c>
      <c r="C2" s="6" t="s">
        <v>115</v>
      </c>
      <c r="D2" s="6" t="s">
        <v>116</v>
      </c>
      <c r="E2" s="6" t="s">
        <v>5</v>
      </c>
      <c r="F2" s="6" t="s">
        <v>30</v>
      </c>
      <c r="G2" s="6" t="s">
        <v>117</v>
      </c>
      <c r="H2" s="6" t="s">
        <v>124</v>
      </c>
      <c r="I2" s="6" t="s">
        <v>125</v>
      </c>
    </row>
    <row r="3" spans="1:9">
      <c r="A3" s="7" t="s">
        <v>31</v>
      </c>
      <c r="B3" s="8">
        <v>1</v>
      </c>
      <c r="C3" s="8">
        <v>1</v>
      </c>
      <c r="D3" s="8">
        <v>0</v>
      </c>
      <c r="E3" s="9">
        <v>1</v>
      </c>
      <c r="F3" s="10">
        <v>999</v>
      </c>
      <c r="G3" s="11">
        <v>28.71</v>
      </c>
      <c r="H3" s="11">
        <v>28.71</v>
      </c>
      <c r="I3" s="11">
        <v>0</v>
      </c>
    </row>
    <row r="4" spans="1:9">
      <c r="A4" s="12" t="s">
        <v>32</v>
      </c>
      <c r="B4" s="13">
        <v>2</v>
      </c>
      <c r="C4" s="13">
        <v>1</v>
      </c>
      <c r="D4" s="13">
        <v>1</v>
      </c>
      <c r="E4" s="14">
        <v>0.5</v>
      </c>
      <c r="F4" s="15">
        <v>0.7877862595419847</v>
      </c>
      <c r="G4" s="16">
        <v>-9.730000000000004</v>
      </c>
      <c r="H4" s="16">
        <v>36.12</v>
      </c>
      <c r="I4" s="16">
        <v>-45.85</v>
      </c>
    </row>
    <row r="5" spans="1:9">
      <c r="A5" s="7" t="s">
        <v>33</v>
      </c>
      <c r="B5" s="8">
        <v>4</v>
      </c>
      <c r="C5" s="8">
        <v>2</v>
      </c>
      <c r="D5" s="8">
        <v>2</v>
      </c>
      <c r="E5" s="9">
        <v>0.5</v>
      </c>
      <c r="F5" s="10">
        <v>12.61383285302593</v>
      </c>
      <c r="G5" s="11">
        <v>80.59999999999999</v>
      </c>
      <c r="H5" s="11">
        <v>43.77</v>
      </c>
      <c r="I5" s="11">
        <v>-3.47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3" width="8.7109375" customWidth="1"/>
    <col min="4" max="4" width="10.7109375" customWidth="1"/>
    <col min="5" max="6" width="12.7109375" customWidth="1"/>
  </cols>
  <sheetData>
    <row r="1" spans="1:6" ht="30" customHeight="1">
      <c r="A1" s="1" t="s">
        <v>126</v>
      </c>
      <c r="B1" s="1"/>
      <c r="C1" s="1"/>
      <c r="D1" s="1"/>
      <c r="E1" s="1"/>
      <c r="F1" s="1"/>
    </row>
    <row r="2" spans="1:6" ht="22" customHeight="1">
      <c r="A2" s="6" t="s">
        <v>56</v>
      </c>
      <c r="B2" s="6" t="s">
        <v>29</v>
      </c>
      <c r="C2" s="6" t="s">
        <v>115</v>
      </c>
      <c r="D2" s="6" t="s">
        <v>5</v>
      </c>
      <c r="E2" s="6" t="s">
        <v>117</v>
      </c>
      <c r="F2" s="6" t="s">
        <v>127</v>
      </c>
    </row>
    <row r="3" spans="1:6">
      <c r="A3" s="7" t="s">
        <v>79</v>
      </c>
      <c r="B3" s="8">
        <v>3</v>
      </c>
      <c r="C3" s="8">
        <v>2</v>
      </c>
      <c r="D3" s="9">
        <v>0.6666666666666666</v>
      </c>
      <c r="E3" s="11">
        <v>99.02</v>
      </c>
      <c r="F3" s="11">
        <v>33.00666666666667</v>
      </c>
    </row>
    <row r="4" spans="1:6">
      <c r="A4" s="12" t="s">
        <v>88</v>
      </c>
      <c r="B4" s="13">
        <v>1</v>
      </c>
      <c r="C4" s="13">
        <v>1</v>
      </c>
      <c r="D4" s="14">
        <v>1</v>
      </c>
      <c r="E4" s="16">
        <v>19.02</v>
      </c>
      <c r="F4" s="16">
        <v>19.02</v>
      </c>
    </row>
    <row r="5" spans="1:6">
      <c r="A5" s="7" t="s">
        <v>71</v>
      </c>
      <c r="B5" s="8">
        <v>3</v>
      </c>
      <c r="C5" s="8">
        <v>1</v>
      </c>
      <c r="D5" s="9">
        <v>0.3333333333333333</v>
      </c>
      <c r="E5" s="11">
        <v>-18.46</v>
      </c>
      <c r="F5" s="11">
        <v>-6.153333333333333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4" width="8.7109375" customWidth="1"/>
    <col min="5" max="5" width="10.7109375" customWidth="1"/>
    <col min="6" max="6" width="8.7109375" customWidth="1"/>
    <col min="7" max="7" width="12.7109375" customWidth="1"/>
  </cols>
  <sheetData>
    <row r="1" spans="1:7" ht="30" customHeight="1">
      <c r="A1" s="1" t="s">
        <v>128</v>
      </c>
      <c r="B1" s="1"/>
      <c r="C1" s="1"/>
      <c r="D1" s="1"/>
      <c r="E1" s="1"/>
      <c r="F1" s="1"/>
      <c r="G1" s="1"/>
    </row>
    <row r="2" spans="1:7" ht="22" customHeight="1">
      <c r="A2" s="6" t="s">
        <v>35</v>
      </c>
      <c r="B2" s="6" t="s">
        <v>29</v>
      </c>
      <c r="C2" s="6" t="s">
        <v>115</v>
      </c>
      <c r="D2" s="6" t="s">
        <v>116</v>
      </c>
      <c r="E2" s="6" t="s">
        <v>5</v>
      </c>
      <c r="F2" s="6" t="s">
        <v>30</v>
      </c>
      <c r="G2" s="6" t="s">
        <v>117</v>
      </c>
    </row>
    <row r="3" spans="1:7">
      <c r="A3" s="7" t="s">
        <v>36</v>
      </c>
      <c r="B3" s="8">
        <v>7</v>
      </c>
      <c r="C3" s="8">
        <v>4</v>
      </c>
      <c r="D3" s="8">
        <v>3</v>
      </c>
      <c r="E3" s="9">
        <v>0.5714285714285714</v>
      </c>
      <c r="F3" s="10">
        <v>2.886342110248153</v>
      </c>
      <c r="G3" s="11">
        <v>99.58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G1" t="s">
        <v>134</v>
      </c>
      <c r="H1" t="s">
        <v>135</v>
      </c>
    </row>
    <row r="2" spans="1:8">
      <c r="A2">
        <v>1</v>
      </c>
      <c r="B2">
        <v>128.71</v>
      </c>
      <c r="C2">
        <v>0</v>
      </c>
      <c r="D2" t="s">
        <v>67</v>
      </c>
      <c r="E2">
        <v>64.83</v>
      </c>
      <c r="G2" t="s">
        <v>115</v>
      </c>
      <c r="H2">
        <v>4</v>
      </c>
    </row>
    <row r="3" spans="1:8">
      <c r="A3">
        <v>2</v>
      </c>
      <c r="B3">
        <v>164.83</v>
      </c>
      <c r="C3">
        <v>0</v>
      </c>
      <c r="D3" t="s">
        <v>84</v>
      </c>
      <c r="E3">
        <v>40.37</v>
      </c>
      <c r="G3" t="s">
        <v>116</v>
      </c>
      <c r="H3">
        <v>3</v>
      </c>
    </row>
    <row r="4" spans="1:8">
      <c r="A4">
        <v>3</v>
      </c>
      <c r="B4">
        <v>183.85</v>
      </c>
      <c r="C4">
        <v>0</v>
      </c>
      <c r="D4" t="s">
        <v>104</v>
      </c>
      <c r="E4">
        <v>-5.62</v>
      </c>
      <c r="G4" t="s">
        <v>136</v>
      </c>
      <c r="H4">
        <v>0</v>
      </c>
    </row>
    <row r="5" spans="1:8">
      <c r="A5">
        <v>4</v>
      </c>
      <c r="B5">
        <v>182.53</v>
      </c>
      <c r="C5">
        <v>0.72</v>
      </c>
    </row>
    <row r="6" spans="1:8">
      <c r="A6">
        <v>5</v>
      </c>
      <c r="B6">
        <v>251.05</v>
      </c>
      <c r="C6">
        <v>0</v>
      </c>
    </row>
    <row r="7" spans="1:8">
      <c r="A7">
        <v>6</v>
      </c>
      <c r="B7">
        <v>205.2</v>
      </c>
      <c r="C7">
        <v>18.26</v>
      </c>
    </row>
    <row r="8" spans="1:8">
      <c r="A8">
        <v>7</v>
      </c>
      <c r="B8">
        <v>199.58</v>
      </c>
      <c r="C8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All Trades</vt:lpstr>
      <vt:lpstr>Daily</vt:lpstr>
      <vt:lpstr>Weekly</vt:lpstr>
      <vt:lpstr>Monthly</vt:lpstr>
      <vt:lpstr>Session Analysis</vt:lpstr>
      <vt:lpstr>SMC Performance</vt:lpstr>
      <vt:lpstr>Regime Analysis</vt:lpstr>
      <vt:lpstr>Charts</vt:lpstr>
      <vt:lpstr>_ChartData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2026-02-25T02:57:00Z</dcterms:created>
  <dcterms:modified xsi:type="dcterms:W3CDTF">2026-02-25T02:57:00Z</dcterms:modified>
</cp:coreProperties>
</file>